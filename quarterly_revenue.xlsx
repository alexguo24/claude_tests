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uo24/Desktop/Claude_Code/"/>
    </mc:Choice>
  </mc:AlternateContent>
  <xr:revisionPtr revIDLastSave="0" documentId="13_ncr:1_{DA94AF72-1D3A-2641-9FF6-67CB0ED85853}" xr6:coauthVersionLast="47" xr6:coauthVersionMax="47" xr10:uidLastSave="{00000000-0000-0000-0000-000000000000}"/>
  <bookViews>
    <workbookView xWindow="0" yWindow="660" windowWidth="30240" windowHeight="17860" tabRatio="500" xr2:uid="{00000000-000D-0000-FFFF-FFFF00000000}"/>
  </bookViews>
  <sheets>
    <sheet name="Quarterly Revenue" sheetId="1" r:id="rId1"/>
    <sheet name="PB_CACHE_JS" sheetId="2" state="very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1" l="1"/>
  <c r="D17" i="1"/>
  <c r="D16" i="1"/>
  <c r="C15" i="1"/>
  <c r="F11" i="1"/>
  <c r="F14" i="1" s="1"/>
  <c r="E11" i="1"/>
  <c r="E14" i="1" s="1"/>
  <c r="D11" i="1"/>
  <c r="D14" i="1" s="1"/>
  <c r="C11" i="1"/>
  <c r="C16" i="1" s="1"/>
  <c r="I10" i="1"/>
  <c r="G10" i="1"/>
  <c r="I9" i="1"/>
  <c r="G9" i="1"/>
  <c r="I8" i="1"/>
  <c r="G8" i="1"/>
  <c r="I7" i="1"/>
  <c r="G7" i="1"/>
  <c r="I6" i="1"/>
  <c r="G6" i="1"/>
  <c r="C17" i="1" s="1"/>
  <c r="G11" i="1" l="1"/>
  <c r="H6" i="1"/>
  <c r="I11" i="1"/>
  <c r="H11" i="1" l="1"/>
  <c r="H8" i="1"/>
  <c r="H9" i="1"/>
  <c r="H10" i="1"/>
  <c r="H7" i="1"/>
</calcChain>
</file>

<file path=xl/sharedStrings.xml><?xml version="1.0" encoding="utf-8"?>
<sst xmlns="http://schemas.openxmlformats.org/spreadsheetml/2006/main" count="30" uniqueCount="30">
  <si>
    <t>Quarterly Revenue Tracker — FY2024</t>
  </si>
  <si>
    <t>All figures in US dollars ($). Sample data for illustration.</t>
  </si>
  <si>
    <t>Revenue Stream</t>
  </si>
  <si>
    <t>Q1 ($)</t>
  </si>
  <si>
    <t>Q2 ($)</t>
  </si>
  <si>
    <t>Q3 ($)</t>
  </si>
  <si>
    <t>Q4 ($)</t>
  </si>
  <si>
    <t>FY Total ($)</t>
  </si>
  <si>
    <t>% of FY Total</t>
  </si>
  <si>
    <t>Q4 vs Q1 Growth</t>
  </si>
  <si>
    <t>Product Sales</t>
  </si>
  <si>
    <t>Subscription Revenue</t>
  </si>
  <si>
    <t>Professional Services</t>
  </si>
  <si>
    <t>Maintenance &amp; Support</t>
  </si>
  <si>
    <t>Other Revenue</t>
  </si>
  <si>
    <t>Total Revenue</t>
  </si>
  <si>
    <t>Summary Metrics</t>
  </si>
  <si>
    <t>QoQ Growth %</t>
  </si>
  <si>
    <t>n/a</t>
  </si>
  <si>
    <t>Average Quarterly Revenue</t>
  </si>
  <si>
    <t>Best Quarter (revenue)</t>
  </si>
  <si>
    <t>Largest Revenue Stream (FY)</t>
  </si>
  <si>
    <t>How to use this sheet</t>
  </si>
  <si>
    <t>• Edit only the blue cells in C6:F10 — these are the quarterly revenue inputs.</t>
  </si>
  <si>
    <t>• Black cells are formulas (totals, %, growth) and update automatically.</t>
  </si>
  <si>
    <t>• Example input row format: Product Sales | 412000 | 438000 | 465000 | 521000 (plain numbers, no $ or commas).</t>
  </si>
  <si>
    <t>• Add a revenue stream by inserting a row inside the table so the SUM ranges expand with it.</t>
  </si>
  <si>
    <t>• Assumption: all figures are sample/placeholder data supplied for demonstration, not actual results.</t>
  </si>
  <si>
    <t>Input cell (edit these)</t>
  </si>
  <si>
    <t>Calculated cell (do not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</si>
</sst>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;\(0.0%\);\-"/>
  </numFmts>
  <fonts count="16" x14ac:knownFonts="1">
    <font>
      <sz val="11"/>
      <color rgb="FF000000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1"/>
      <color rgb="FF1F3864"/>
      <name val="Arial"/>
      <family val="2"/>
    </font>
    <font>
      <i/>
      <sz val="10"/>
      <color rgb="FF80808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sz val="12"/>
      <name val="Bierstadt"/>
    </font>
    <font>
      <b/>
      <sz val="12"/>
      <name val="Bierstadt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5" fillId="0" borderId="2" xfId="0" applyNumberFormat="1" applyFont="1" applyBorder="1"/>
    <xf numFmtId="164" fontId="6" fillId="0" borderId="2" xfId="0" applyNumberFormat="1" applyFont="1" applyBorder="1"/>
    <xf numFmtId="165" fontId="4" fillId="0" borderId="2" xfId="0" applyNumberFormat="1" applyFont="1" applyBorder="1"/>
    <xf numFmtId="164" fontId="5" fillId="3" borderId="2" xfId="0" applyNumberFormat="1" applyFont="1" applyFill="1" applyBorder="1"/>
    <xf numFmtId="164" fontId="6" fillId="3" borderId="2" xfId="0" applyNumberFormat="1" applyFont="1" applyFill="1" applyBorder="1"/>
    <xf numFmtId="165" fontId="4" fillId="3" borderId="2" xfId="0" applyNumberFormat="1" applyFont="1" applyFill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0" borderId="0" xfId="0" applyFont="1"/>
    <xf numFmtId="0" fontId="7" fillId="0" borderId="0" xfId="0" applyFont="1"/>
    <xf numFmtId="0" fontId="9" fillId="0" borderId="0" xfId="0" applyFont="1" applyAlignment="1">
      <alignment horizontal="right"/>
    </xf>
    <xf numFmtId="165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10" fillId="0" borderId="0" xfId="0" applyFont="1"/>
    <xf numFmtId="0" fontId="11" fillId="4" borderId="0" xfId="0" applyFont="1" applyFill="1"/>
    <xf numFmtId="164" fontId="12" fillId="0" borderId="0" xfId="0" applyNumberFormat="1" applyFont="1"/>
    <xf numFmtId="164" fontId="13" fillId="0" borderId="0" xfId="0" applyNumberFormat="1" applyFont="1"/>
    <xf numFmtId="0" fontId="14" fillId="0" borderId="2" xfId="0" applyFont="1" applyBorder="1"/>
    <xf numFmtId="0" fontId="14" fillId="3" borderId="2" xfId="0" applyFont="1" applyFill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65ADF2F-A0CF-4B49-BE5B-CC919E91D48A}">
  <we:reference id="367F4E28-F27A-41A8-92A6-9F79D56CB19E" version="3.1.1.0" store="EXCatalog" storeType="EXCatalog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B6591DB-23AD-9E41-B406-E290E89EAA7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0d00d0c-8606-42cf-8827-4032a77b93c8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4BC15AC-0B0E-9249-A1D5-FB884A8874ED}">
  <we:reference id="6e11ab1b-d693-4583-afab-dddf9c1d64fc" version="1.8.0.0" store="EXCatalog" storeType="EXCatalog"/>
  <we:alternateReferences>
    <we:reference id="WA200002663" version="1.8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0" sqref="B10"/>
    </sheetView>
  </sheetViews>
  <sheetFormatPr baseColWidth="10" defaultColWidth="8.5" defaultRowHeight="15" x14ac:dyDescent="0.2"/>
  <cols>
    <col min="1" max="1" width="2.5" customWidth="1"/>
    <col min="2" max="2" width="30" customWidth="1"/>
    <col min="3" max="7" width="14" customWidth="1"/>
    <col min="8" max="8" width="13" customWidth="1"/>
    <col min="9" max="9" width="15" customWidth="1"/>
  </cols>
  <sheetData>
    <row r="2" spans="2:9" ht="18" x14ac:dyDescent="0.2">
      <c r="B2" s="1" t="s">
        <v>0</v>
      </c>
    </row>
    <row r="3" spans="2:9" x14ac:dyDescent="0.2">
      <c r="B3" s="2" t="s">
        <v>1</v>
      </c>
    </row>
    <row r="5" spans="2:9" ht="30" customHeight="1" x14ac:dyDescent="0.2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2:9" x14ac:dyDescent="0.2">
      <c r="B6" s="22" t="s">
        <v>10</v>
      </c>
      <c r="C6" s="4">
        <v>412000</v>
      </c>
      <c r="D6" s="4">
        <v>438000</v>
      </c>
      <c r="E6" s="4">
        <v>465000</v>
      </c>
      <c r="F6" s="4">
        <v>521000</v>
      </c>
      <c r="G6" s="5">
        <f>SUM(C6:F6)</f>
        <v>1836000</v>
      </c>
      <c r="H6" s="6">
        <f t="shared" ref="H6:H11" si="0">IFERROR(G6/$G$11,0)</f>
        <v>0.5334108076699593</v>
      </c>
      <c r="I6" s="6">
        <f t="shared" ref="I6:I11" si="1">IFERROR(F6/C6-1,0)</f>
        <v>0.2645631067961165</v>
      </c>
    </row>
    <row r="7" spans="2:9" x14ac:dyDescent="0.2">
      <c r="B7" s="23" t="s">
        <v>11</v>
      </c>
      <c r="C7" s="7">
        <v>185000</v>
      </c>
      <c r="D7" s="7">
        <v>201000</v>
      </c>
      <c r="E7" s="7">
        <v>224000</v>
      </c>
      <c r="F7" s="7">
        <v>248000</v>
      </c>
      <c r="G7" s="8">
        <f>SUM(C7:F7)</f>
        <v>858000</v>
      </c>
      <c r="H7" s="9">
        <f t="shared" si="0"/>
        <v>0.24927367809413131</v>
      </c>
      <c r="I7" s="9">
        <f t="shared" si="1"/>
        <v>0.34054054054054061</v>
      </c>
    </row>
    <row r="8" spans="2:9" x14ac:dyDescent="0.2">
      <c r="B8" s="22" t="s">
        <v>12</v>
      </c>
      <c r="C8" s="4">
        <v>96000</v>
      </c>
      <c r="D8" s="4">
        <v>88000</v>
      </c>
      <c r="E8" s="4">
        <v>112000</v>
      </c>
      <c r="F8" s="4">
        <v>134000</v>
      </c>
      <c r="G8" s="5">
        <f>SUM(C8:F8)</f>
        <v>430000</v>
      </c>
      <c r="H8" s="6">
        <f t="shared" si="0"/>
        <v>0.12492736780941313</v>
      </c>
      <c r="I8" s="6">
        <f t="shared" si="1"/>
        <v>0.39583333333333326</v>
      </c>
    </row>
    <row r="9" spans="2:9" x14ac:dyDescent="0.2">
      <c r="B9" s="23" t="s">
        <v>13</v>
      </c>
      <c r="C9" s="7">
        <v>54000</v>
      </c>
      <c r="D9" s="7">
        <v>56000</v>
      </c>
      <c r="E9" s="7">
        <v>59000</v>
      </c>
      <c r="F9" s="7">
        <v>63000</v>
      </c>
      <c r="G9" s="8">
        <f>SUM(C9:F9)</f>
        <v>232000</v>
      </c>
      <c r="H9" s="9">
        <f t="shared" si="0"/>
        <v>6.74026728646136E-2</v>
      </c>
      <c r="I9" s="9">
        <f t="shared" si="1"/>
        <v>0.16666666666666674</v>
      </c>
    </row>
    <row r="10" spans="2:9" x14ac:dyDescent="0.2">
      <c r="B10" s="22" t="s">
        <v>14</v>
      </c>
      <c r="C10" s="4">
        <v>18000</v>
      </c>
      <c r="D10" s="4">
        <v>22000</v>
      </c>
      <c r="E10" s="4">
        <v>19000</v>
      </c>
      <c r="F10" s="4">
        <v>27000</v>
      </c>
      <c r="G10" s="5">
        <f>SUM(C10:F10)</f>
        <v>86000</v>
      </c>
      <c r="H10" s="6">
        <f t="shared" si="0"/>
        <v>2.4985473561882625E-2</v>
      </c>
      <c r="I10" s="6">
        <f t="shared" si="1"/>
        <v>0.5</v>
      </c>
    </row>
    <row r="11" spans="2:9" x14ac:dyDescent="0.2">
      <c r="B11" s="24" t="s">
        <v>15</v>
      </c>
      <c r="C11" s="10">
        <f>SUM(C6:C10)</f>
        <v>765000</v>
      </c>
      <c r="D11" s="10">
        <f>SUM(D6:D10)</f>
        <v>805000</v>
      </c>
      <c r="E11" s="10">
        <f>SUM(E6:E10)</f>
        <v>879000</v>
      </c>
      <c r="F11" s="10">
        <f>SUM(F6:F10)</f>
        <v>993000</v>
      </c>
      <c r="G11" s="10">
        <f>SUM(G6:G10)</f>
        <v>3442000</v>
      </c>
      <c r="H11" s="11">
        <f t="shared" si="0"/>
        <v>1</v>
      </c>
      <c r="I11" s="11">
        <f t="shared" si="1"/>
        <v>0.29803921568627456</v>
      </c>
    </row>
    <row r="13" spans="2:9" x14ac:dyDescent="0.2">
      <c r="B13" s="12" t="s">
        <v>16</v>
      </c>
    </row>
    <row r="14" spans="2:9" x14ac:dyDescent="0.2">
      <c r="B14" s="13" t="s">
        <v>17</v>
      </c>
      <c r="C14" s="14" t="s">
        <v>18</v>
      </c>
      <c r="D14" s="15">
        <f>IFERROR(D11/C11-1,0)</f>
        <v>5.2287581699346442E-2</v>
      </c>
      <c r="E14" s="15">
        <f>IFERROR(E11/D11-1,0)</f>
        <v>9.1925465838509357E-2</v>
      </c>
      <c r="F14" s="15">
        <f>IFERROR(F11/E11-1,0)</f>
        <v>0.12969283276450505</v>
      </c>
    </row>
    <row r="15" spans="2:9" x14ac:dyDescent="0.2">
      <c r="B15" s="13" t="s">
        <v>19</v>
      </c>
      <c r="C15" s="16">
        <f>AVERAGE(C11:F11)</f>
        <v>860500</v>
      </c>
    </row>
    <row r="16" spans="2:9" x14ac:dyDescent="0.2">
      <c r="B16" s="13" t="s">
        <v>20</v>
      </c>
      <c r="C16" s="16">
        <f>MAX(C11:F11)</f>
        <v>993000</v>
      </c>
      <c r="D16" s="17" t="str">
        <f>INDEX($C$5:$F$5,MATCH(MAX(C11:F11),C11:F11,0))</f>
        <v>Q4 ($)</v>
      </c>
    </row>
    <row r="17" spans="2:4" x14ac:dyDescent="0.2">
      <c r="B17" s="13" t="s">
        <v>21</v>
      </c>
      <c r="C17" s="16">
        <f>MAX(G6:G10)</f>
        <v>1836000</v>
      </c>
      <c r="D17" s="17" t="str">
        <f>INDEX($B$6:$B$10,MATCH(MAX(G6:G10),G6:G10,0))</f>
        <v>Product Sales</v>
      </c>
    </row>
    <row r="19" spans="2:4" x14ac:dyDescent="0.2">
      <c r="B19" s="12" t="s">
        <v>22</v>
      </c>
    </row>
    <row r="20" spans="2:4" x14ac:dyDescent="0.2">
      <c r="B20" s="18" t="s">
        <v>23</v>
      </c>
    </row>
    <row r="21" spans="2:4" x14ac:dyDescent="0.2">
      <c r="B21" s="18" t="s">
        <v>24</v>
      </c>
    </row>
    <row r="22" spans="2:4" x14ac:dyDescent="0.2">
      <c r="B22" s="18" t="s">
        <v>25</v>
      </c>
    </row>
    <row r="23" spans="2:4" x14ac:dyDescent="0.2">
      <c r="B23" s="18" t="s">
        <v>26</v>
      </c>
    </row>
    <row r="24" spans="2:4" x14ac:dyDescent="0.2">
      <c r="B24" s="19" t="s">
        <v>27</v>
      </c>
    </row>
    <row r="26" spans="2:4" x14ac:dyDescent="0.2">
      <c r="B26" s="18" t="s">
        <v>28</v>
      </c>
      <c r="C26" s="20">
        <v>123456</v>
      </c>
    </row>
    <row r="27" spans="2:4" x14ac:dyDescent="0.2">
      <c r="B27" s="18" t="s">
        <v>29</v>
      </c>
      <c r="C27" s="21">
        <f>C26</f>
        <v>123456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4CE7-5448-BD44-931F-251EC89B573F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Guo</cp:lastModifiedBy>
  <cp:revision>0</cp:revision>
  <dcterms:created xsi:type="dcterms:W3CDTF">2026-09-15T17:48:44Z</dcterms:created>
  <dcterms:modified xsi:type="dcterms:W3CDTF">2026-09-18T03:17:04Z</dcterms:modified>
  <dc:language>en-US</dc:language>
</cp:coreProperties>
</file>